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C:\Users\felipe.local\Videos\Controle de investimentos\"/>
    </mc:Choice>
  </mc:AlternateContent>
  <xr:revisionPtr revIDLastSave="0" documentId="8_{8CB48143-1B6A-40FD-9960-926C643AD527}" xr6:coauthVersionLast="47" xr6:coauthVersionMax="47" xr10:uidLastSave="{00000000-0000-0000-0000-000000000000}"/>
  <bookViews>
    <workbookView xWindow="-20610" yWindow="630" windowWidth="20730" windowHeight="11760" tabRatio="345" xr2:uid="{D63472A4-8300-4934-9C87-0EC792DCF89D}"/>
  </bookViews>
  <sheets>
    <sheet name="APP" sheetId="1" r:id="rId1"/>
    <sheet name="Planilha2" sheetId="2" r:id="rId2"/>
  </sheets>
  <definedNames>
    <definedName name="aporte">APP!$D$17</definedName>
    <definedName name="patrimonio">APP!$D$20</definedName>
    <definedName name="qtd_anos">APP!$D$18</definedName>
    <definedName name="rendimento_carteira">APP!$D$13</definedName>
    <definedName name="salario">APP!$D$12</definedName>
    <definedName name="sugestao_investimento">APP!$D$14</definedName>
    <definedName name="taxa_mensal">APP!$D$19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1" l="1"/>
  <c r="C24" i="1"/>
  <c r="H4" i="2"/>
  <c r="C28" i="1"/>
  <c r="D20" i="1"/>
  <c r="D14" i="1"/>
  <c r="D21" i="1"/>
  <c r="C45" i="1"/>
  <c r="C46" i="1"/>
  <c r="C47" i="1"/>
  <c r="C48" i="1"/>
  <c r="C49" i="1"/>
  <c r="C50" i="1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C42" i="1"/>
  <c r="C27" i="1"/>
  <c r="D27" i="1" s="1"/>
  <c r="C26" i="1"/>
  <c r="D26" i="1" s="1"/>
  <c r="D25" i="1"/>
  <c r="D28" i="1"/>
  <c r="D24" i="1"/>
  <c r="D45" i="1" l="1"/>
  <c r="D50" i="1"/>
  <c r="D48" i="1"/>
  <c r="D47" i="1"/>
  <c r="D49" i="1"/>
  <c r="D46" i="1"/>
  <c r="D51" i="1" l="1"/>
</calcChain>
</file>

<file path=xl/sharedStrings.xml><?xml version="1.0" encoding="utf-8"?>
<sst xmlns="http://schemas.openxmlformats.org/spreadsheetml/2006/main" count="72" uniqueCount="35">
  <si>
    <t>CONFIGURAÇÕES</t>
  </si>
  <si>
    <t>Salário</t>
  </si>
  <si>
    <t>Rendimento Carteira</t>
  </si>
  <si>
    <t>Sugestão de Investimento (30%)</t>
  </si>
  <si>
    <t>INVESTIMENTO MENSAL</t>
  </si>
  <si>
    <t>Quanto investir por mês ?</t>
  </si>
  <si>
    <t>Por Quantos Anos ?</t>
  </si>
  <si>
    <t>Taxa de Rendimento mensal ?</t>
  </si>
  <si>
    <t>Patrimônio acumulado ?</t>
  </si>
  <si>
    <t>Dividendos Mensais ?</t>
  </si>
  <si>
    <t>Prazo de investimento</t>
  </si>
  <si>
    <t>Patrimônio acumulado</t>
  </si>
  <si>
    <t>Dividendo</t>
  </si>
  <si>
    <t>2 anos</t>
  </si>
  <si>
    <t>5 anos</t>
  </si>
  <si>
    <t>10 anos</t>
  </si>
  <si>
    <t xml:space="preserve">20 Anos </t>
  </si>
  <si>
    <t xml:space="preserve">30 Anos </t>
  </si>
  <si>
    <t>PERFIL</t>
  </si>
  <si>
    <t>Agressivo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</si>
  <si>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</si>
  <si>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</si>
  <si>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</si>
  <si>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</si>
  <si>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</si>
  <si>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</si>
  <si>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</si>
  <si>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</si>
  <si>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</si>
  <si>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</si>
  <si>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CHAVE</t>
  </si>
  <si>
    <t>%</t>
  </si>
  <si>
    <t>Conservador</t>
  </si>
  <si>
    <t>Moderado-TIJOLO</t>
  </si>
  <si>
    <t>Moderado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</si>
</sst>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Microsoft JhengHei"/>
    </font>
    <font>
      <sz val="11"/>
      <color theme="0"/>
      <name val="Microsoft JhengHei"/>
    </font>
    <font>
      <sz val="11"/>
      <color rgb="FF9C5700"/>
      <name val="Microsoft JhengHei"/>
    </font>
    <font>
      <b/>
      <sz val="11"/>
      <color theme="1"/>
      <name val="Microsoft JhengHei"/>
    </font>
    <font>
      <sz val="12"/>
      <color theme="1"/>
      <name val="Segoe UI"/>
    </font>
    <font>
      <b/>
      <sz val="12"/>
      <color theme="1"/>
      <name val="Segoe UI"/>
    </font>
    <font>
      <b/>
      <sz val="16"/>
      <color theme="0"/>
      <name val="Aptos Display"/>
      <scheme val="major"/>
    </font>
    <font>
      <b/>
      <sz val="12"/>
      <color rgb="FFFFFFFF"/>
      <name val="Aptos Display"/>
      <scheme val="major"/>
    </font>
    <font>
      <b/>
      <sz val="14"/>
      <color theme="0"/>
      <name val="Aptos Display"/>
      <scheme val="major"/>
    </font>
  </fonts>
  <fills count="11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1A237E"/>
        <bgColor indexed="64"/>
      </patternFill>
    </fill>
    <fill>
      <patternFill patternType="solid">
        <fgColor rgb="FF7B1FA2"/>
        <bgColor indexed="64"/>
      </patternFill>
    </fill>
    <fill>
      <patternFill patternType="solid">
        <fgColor rgb="FFF5F5F5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34998626667073579"/>
      </top>
      <bottom style="medium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65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/>
    <xf numFmtId="9" fontId="0" fillId="0" borderId="0" xfId="0" applyNumberFormat="1" applyAlignment="1">
      <alignment horizontal="center"/>
    </xf>
    <xf numFmtId="0" fontId="2" fillId="2" borderId="0" xfId="3"/>
    <xf numFmtId="0" fontId="0" fillId="0" borderId="4" xfId="0" applyBorder="1"/>
    <xf numFmtId="0" fontId="0" fillId="0" borderId="4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9" fontId="0" fillId="6" borderId="0" xfId="0" applyNumberFormat="1" applyFill="1" applyAlignment="1">
      <alignment horizontal="center"/>
    </xf>
    <xf numFmtId="9" fontId="2" fillId="2" borderId="0" xfId="2" applyFont="1" applyFill="1"/>
    <xf numFmtId="0" fontId="3" fillId="7" borderId="0" xfId="0" applyFont="1" applyFill="1"/>
    <xf numFmtId="0" fontId="3" fillId="7" borderId="0" xfId="0" applyFont="1" applyFill="1" applyAlignment="1">
      <alignment horizontal="center"/>
    </xf>
    <xf numFmtId="0" fontId="4" fillId="0" borderId="0" xfId="0" applyFont="1"/>
    <xf numFmtId="0" fontId="5" fillId="0" borderId="0" xfId="0" applyFont="1"/>
    <xf numFmtId="0" fontId="6" fillId="2" borderId="0" xfId="3" applyFont="1"/>
    <xf numFmtId="0" fontId="6" fillId="2" borderId="0" xfId="3" applyFont="1" applyAlignment="1">
      <alignment horizontal="center"/>
    </xf>
    <xf numFmtId="0" fontId="7" fillId="4" borderId="0" xfId="0" applyFont="1" applyFill="1"/>
    <xf numFmtId="164" fontId="7" fillId="4" borderId="0" xfId="1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9" fontId="4" fillId="0" borderId="0" xfId="0" applyNumberFormat="1" applyFont="1" applyAlignment="1">
      <alignment horizontal="center"/>
    </xf>
    <xf numFmtId="164" fontId="4" fillId="4" borderId="0" xfId="0" applyNumberFormat="1" applyFont="1" applyFill="1" applyAlignment="1">
      <alignment horizontal="center"/>
    </xf>
    <xf numFmtId="0" fontId="7" fillId="5" borderId="0" xfId="0" applyFont="1" applyFill="1"/>
    <xf numFmtId="164" fontId="7" fillId="5" borderId="0" xfId="0" applyNumberFormat="1" applyFont="1" applyFill="1" applyAlignment="1">
      <alignment horizontal="center"/>
    </xf>
    <xf numFmtId="0" fontId="8" fillId="4" borderId="18" xfId="0" applyFont="1" applyFill="1" applyBorder="1" applyAlignment="1">
      <alignment horizontal="left" indent="3"/>
    </xf>
    <xf numFmtId="0" fontId="8" fillId="4" borderId="19" xfId="0" applyFont="1" applyFill="1" applyBorder="1" applyAlignment="1">
      <alignment horizontal="left" indent="3"/>
    </xf>
    <xf numFmtId="0" fontId="8" fillId="4" borderId="16" xfId="0" applyFont="1" applyFill="1" applyBorder="1" applyAlignment="1">
      <alignment horizontal="left" indent="3"/>
    </xf>
    <xf numFmtId="0" fontId="8" fillId="4" borderId="17" xfId="0" applyFont="1" applyFill="1" applyBorder="1" applyAlignment="1">
      <alignment horizontal="left" indent="3"/>
    </xf>
    <xf numFmtId="0" fontId="8" fillId="4" borderId="5" xfId="0" applyFont="1" applyFill="1" applyBorder="1" applyAlignment="1">
      <alignment horizontal="left" indent="3"/>
    </xf>
    <xf numFmtId="0" fontId="8" fillId="4" borderId="6" xfId="0" applyFont="1" applyFill="1" applyBorder="1" applyAlignment="1">
      <alignment horizontal="left" indent="3"/>
    </xf>
    <xf numFmtId="164" fontId="9" fillId="0" borderId="7" xfId="0" applyNumberFormat="1" applyFont="1" applyBorder="1" applyAlignment="1">
      <alignment horizontal="center"/>
    </xf>
    <xf numFmtId="0" fontId="8" fillId="4" borderId="8" xfId="0" applyFont="1" applyFill="1" applyBorder="1" applyAlignment="1">
      <alignment horizontal="left" indent="3"/>
    </xf>
    <xf numFmtId="0" fontId="8" fillId="4" borderId="9" xfId="0" applyFont="1" applyFill="1" applyBorder="1" applyAlignment="1">
      <alignment horizontal="left" indent="3"/>
    </xf>
    <xf numFmtId="0" fontId="9" fillId="0" borderId="10" xfId="0" applyFont="1" applyBorder="1" applyAlignment="1">
      <alignment horizontal="center"/>
    </xf>
    <xf numFmtId="10" fontId="9" fillId="0" borderId="10" xfId="0" applyNumberFormat="1" applyFont="1" applyBorder="1" applyAlignment="1">
      <alignment horizontal="center"/>
    </xf>
    <xf numFmtId="0" fontId="9" fillId="3" borderId="8" xfId="0" applyFont="1" applyFill="1" applyBorder="1" applyAlignment="1">
      <alignment horizontal="left" indent="3"/>
    </xf>
    <xf numFmtId="0" fontId="9" fillId="3" borderId="9" xfId="0" applyFont="1" applyFill="1" applyBorder="1" applyAlignment="1">
      <alignment horizontal="left" indent="3"/>
    </xf>
    <xf numFmtId="8" fontId="9" fillId="3" borderId="10" xfId="0" applyNumberFormat="1" applyFont="1" applyFill="1" applyBorder="1" applyAlignment="1">
      <alignment horizontal="center"/>
    </xf>
    <xf numFmtId="0" fontId="9" fillId="3" borderId="11" xfId="0" applyFont="1" applyFill="1" applyBorder="1" applyAlignment="1">
      <alignment horizontal="left" indent="3"/>
    </xf>
    <xf numFmtId="0" fontId="9" fillId="3" borderId="12" xfId="0" applyFont="1" applyFill="1" applyBorder="1" applyAlignment="1">
      <alignment horizontal="left" indent="3"/>
    </xf>
    <xf numFmtId="8" fontId="9" fillId="3" borderId="13" xfId="0" applyNumberFormat="1" applyFont="1" applyFill="1" applyBorder="1" applyAlignment="1">
      <alignment horizontal="center"/>
    </xf>
    <xf numFmtId="164" fontId="8" fillId="0" borderId="7" xfId="1" applyNumberFormat="1" applyFont="1" applyBorder="1" applyAlignment="1">
      <alignment horizontal="center"/>
    </xf>
    <xf numFmtId="10" fontId="8" fillId="0" borderId="10" xfId="0" applyNumberFormat="1" applyFont="1" applyBorder="1" applyAlignment="1">
      <alignment horizontal="center"/>
    </xf>
    <xf numFmtId="0" fontId="10" fillId="9" borderId="1" xfId="0" applyFont="1" applyFill="1" applyBorder="1" applyAlignment="1">
      <alignment horizontal="center" vertical="center"/>
    </xf>
    <xf numFmtId="0" fontId="10" fillId="9" borderId="3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0" fillId="8" borderId="3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/>
    </xf>
    <xf numFmtId="0" fontId="8" fillId="10" borderId="14" xfId="0" applyFont="1" applyFill="1" applyBorder="1" applyAlignment="1">
      <alignment horizontal="left" indent="3"/>
    </xf>
    <xf numFmtId="0" fontId="8" fillId="10" borderId="15" xfId="0" applyFont="1" applyFill="1" applyBorder="1" applyAlignment="1">
      <alignment horizontal="left" indent="3"/>
    </xf>
    <xf numFmtId="164" fontId="8" fillId="10" borderId="13" xfId="0" applyNumberFormat="1" applyFont="1" applyFill="1" applyBorder="1" applyAlignment="1">
      <alignment horizontal="center"/>
    </xf>
    <xf numFmtId="0" fontId="12" fillId="8" borderId="1" xfId="0" applyFont="1" applyFill="1" applyBorder="1" applyAlignment="1">
      <alignment horizontal="center" vertical="center" wrapText="1"/>
    </xf>
    <xf numFmtId="164" fontId="8" fillId="3" borderId="21" xfId="0" applyNumberFormat="1" applyFont="1" applyFill="1" applyBorder="1" applyAlignment="1">
      <alignment horizontal="center"/>
    </xf>
    <xf numFmtId="164" fontId="8" fillId="3" borderId="22" xfId="0" applyNumberFormat="1" applyFont="1" applyFill="1" applyBorder="1" applyAlignment="1">
      <alignment horizontal="center"/>
    </xf>
    <xf numFmtId="164" fontId="8" fillId="3" borderId="24" xfId="0" applyNumberFormat="1" applyFont="1" applyFill="1" applyBorder="1" applyAlignment="1">
      <alignment horizontal="center"/>
    </xf>
    <xf numFmtId="164" fontId="8" fillId="3" borderId="25" xfId="0" applyNumberFormat="1" applyFont="1" applyFill="1" applyBorder="1" applyAlignment="1">
      <alignment horizontal="center"/>
    </xf>
    <xf numFmtId="164" fontId="8" fillId="3" borderId="27" xfId="0" applyNumberFormat="1" applyFont="1" applyFill="1" applyBorder="1" applyAlignment="1">
      <alignment horizontal="center"/>
    </xf>
    <xf numFmtId="164" fontId="8" fillId="3" borderId="28" xfId="0" applyNumberFormat="1" applyFont="1" applyFill="1" applyBorder="1" applyAlignment="1">
      <alignment horizontal="center"/>
    </xf>
    <xf numFmtId="0" fontId="8" fillId="3" borderId="20" xfId="0" applyFont="1" applyFill="1" applyBorder="1" applyAlignment="1">
      <alignment horizontal="center" indent="3"/>
    </xf>
    <xf numFmtId="0" fontId="8" fillId="3" borderId="23" xfId="0" applyFont="1" applyFill="1" applyBorder="1" applyAlignment="1">
      <alignment horizontal="center" indent="3"/>
    </xf>
    <xf numFmtId="0" fontId="8" fillId="3" borderId="26" xfId="0" applyFont="1" applyFill="1" applyBorder="1" applyAlignment="1">
      <alignment horizontal="center" indent="3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F5F5F5"/>
      <color rgb="FF1A237E"/>
      <color rgb="FF7B1FA2"/>
      <color rgb="FF27D88D"/>
      <color rgb="FF003233"/>
      <color rgb="FFE2BD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APP!$C$44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A374-411B-91FF-4CC344671C6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A374-411B-91FF-4CC344671C6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A374-411B-91FF-4CC344671C6D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A374-411B-91FF-4CC344671C6D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A374-411B-91FF-4CC344671C6D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A374-411B-91FF-4CC344671C6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APP!$B$45:$B$50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APP!$C$45:$C$50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9-4386-8C2E-9F990CFD8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v>Aporte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APP!$C$24:$C$28</c:f>
              <c:numCache>
                <c:formatCode>"R$"\ #,##0.00</c:formatCode>
                <c:ptCount val="5"/>
                <c:pt idx="0">
                  <c:v>32673.152757174259</c:v>
                </c:pt>
                <c:pt idx="1">
                  <c:v>100532.29679818517</c:v>
                </c:pt>
                <c:pt idx="2">
                  <c:v>291941.05503620661</c:v>
                </c:pt>
                <c:pt idx="3">
                  <c:v>1350238.0801164967</c:v>
                </c:pt>
                <c:pt idx="4">
                  <c:v>5186603.586005657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B0-47DD-A15D-7DD3A67EA1D2}"/>
            </c:ext>
          </c:extLst>
        </c:ser>
        <c:ser>
          <c:idx val="1"/>
          <c:order val="1"/>
          <c:tx>
            <c:v>Dividendos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APP!$D$24:$D$28</c:f>
              <c:numCache>
                <c:formatCode>"R$"\ #,##0.00</c:formatCode>
                <c:ptCount val="5"/>
                <c:pt idx="0">
                  <c:v>196.03891654304556</c:v>
                </c:pt>
                <c:pt idx="1">
                  <c:v>603.19378078911097</c:v>
                </c:pt>
                <c:pt idx="2">
                  <c:v>1751.6463302172397</c:v>
                </c:pt>
                <c:pt idx="3">
                  <c:v>8101.4284806989799</c:v>
                </c:pt>
                <c:pt idx="4">
                  <c:v>31119.621516033942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B0-47DD-A15D-7DD3A67EA1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05436167"/>
        <c:axId val="905442311"/>
      </c:barChart>
      <c:catAx>
        <c:axId val="905436167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442311"/>
        <c:crosses val="autoZero"/>
        <c:auto val="1"/>
        <c:lblAlgn val="ctr"/>
        <c:lblOffset val="100"/>
        <c:noMultiLvlLbl val="0"/>
      </c:catAx>
      <c:valAx>
        <c:axId val="905442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436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317046</xdr:colOff>
      <xdr:row>51</xdr:row>
      <xdr:rowOff>97971</xdr:rowOff>
    </xdr:from>
    <xdr:to>
      <xdr:col>3</xdr:col>
      <xdr:colOff>892175</xdr:colOff>
      <xdr:row>64</xdr:row>
      <xdr:rowOff>35832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4B8E7C0-F2C3-7792-03A6-894CBA5335FE}"/>
            </a:ext>
            <a:ext uri="{147F2762-F138-4A5C-976F-8EAC2B608ADB}">
              <a16:predDERef xmlns:a16="http://schemas.microsoft.com/office/drawing/2014/main" pred="{A06C0C26-EE62-D9A1-8A3D-A7E61EE75D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47625</xdr:colOff>
      <xdr:row>28</xdr:row>
      <xdr:rowOff>104775</xdr:rowOff>
    </xdr:from>
    <xdr:to>
      <xdr:col>3</xdr:col>
      <xdr:colOff>952500</xdr:colOff>
      <xdr:row>38</xdr:row>
      <xdr:rowOff>180975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5AB9DBE5-AE74-8996-C32F-E7EADFAE280E}"/>
            </a:ext>
            <a:ext uri="{147F2762-F138-4A5C-976F-8EAC2B608ADB}">
              <a16:predDERef xmlns:a16="http://schemas.microsoft.com/office/drawing/2014/main" pred="{792BA7CE-4F23-D37B-ECAE-73C4AD047C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1</xdr:row>
      <xdr:rowOff>0</xdr:rowOff>
    </xdr:from>
    <xdr:to>
      <xdr:col>3</xdr:col>
      <xdr:colOff>971550</xdr:colOff>
      <xdr:row>9</xdr:row>
      <xdr:rowOff>19050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05FF3866-557E-4853-98FD-B6CC417D3E0C}"/>
            </a:ext>
            <a:ext uri="{147F2762-F138-4A5C-976F-8EAC2B608ADB}">
              <a16:predDERef xmlns:a16="http://schemas.microsoft.com/office/drawing/2014/main" pred="{5AB9DBE5-AE74-8996-C32F-E7EADFAE2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1950" y="190500"/>
          <a:ext cx="6096000" cy="1543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0B514-4758-45B7-9E7C-BEE6ADE55698}">
  <dimension ref="A1:H65"/>
  <sheetViews>
    <sheetView showGridLines="0" tabSelected="1" zoomScale="110" zoomScaleNormal="110" workbookViewId="0">
      <selection activeCell="B2" sqref="B2"/>
    </sheetView>
  </sheetViews>
  <sheetFormatPr defaultColWidth="0" defaultRowHeight="15"/>
  <cols>
    <col min="1" max="1" width="5.42578125" customWidth="1"/>
    <col min="2" max="2" width="46.85546875" customWidth="1"/>
    <col min="3" max="3" width="30" bestFit="1" customWidth="1"/>
    <col min="4" max="4" width="15" customWidth="1"/>
    <col min="5" max="8" width="3.5703125" customWidth="1"/>
    <col min="9" max="16384" width="8.7109375" hidden="1"/>
  </cols>
  <sheetData>
    <row r="1" spans="1:4">
      <c r="A1" s="14"/>
      <c r="B1" s="14"/>
      <c r="C1" s="14"/>
      <c r="D1" s="14"/>
    </row>
    <row r="2" spans="1:4">
      <c r="A2" s="14"/>
      <c r="B2" s="14"/>
      <c r="C2" s="14"/>
      <c r="D2" s="14"/>
    </row>
    <row r="3" spans="1:4">
      <c r="A3" s="14"/>
      <c r="B3" s="14"/>
      <c r="C3" s="14"/>
      <c r="D3" s="14"/>
    </row>
    <row r="4" spans="1:4">
      <c r="A4" s="14"/>
      <c r="B4" s="14"/>
      <c r="C4" s="14"/>
      <c r="D4" s="14"/>
    </row>
    <row r="5" spans="1:4">
      <c r="A5" s="14"/>
      <c r="B5" s="14"/>
      <c r="C5" s="14"/>
      <c r="D5" s="14"/>
    </row>
    <row r="6" spans="1:4">
      <c r="A6" s="14"/>
      <c r="B6" s="14"/>
      <c r="C6" s="14"/>
      <c r="D6" s="14"/>
    </row>
    <row r="7" spans="1:4">
      <c r="A7" s="14"/>
      <c r="B7" s="14"/>
      <c r="C7" s="14"/>
      <c r="D7" s="14"/>
    </row>
    <row r="8" spans="1:4">
      <c r="A8" s="14"/>
      <c r="B8" s="14"/>
      <c r="C8" s="14"/>
      <c r="D8" s="14"/>
    </row>
    <row r="9" spans="1:4">
      <c r="A9" s="14"/>
      <c r="B9" s="14"/>
      <c r="C9" s="14"/>
      <c r="D9" s="14"/>
    </row>
    <row r="10" spans="1:4">
      <c r="A10" s="14"/>
      <c r="B10" s="14"/>
      <c r="C10" s="14"/>
      <c r="D10" s="14"/>
    </row>
    <row r="11" spans="1:4" ht="39.75" customHeight="1">
      <c r="A11" s="14"/>
      <c r="B11" s="45" t="s">
        <v>0</v>
      </c>
      <c r="C11" s="46"/>
      <c r="D11" s="47"/>
    </row>
    <row r="12" spans="1:4" ht="17.25">
      <c r="A12" s="14"/>
      <c r="B12" s="26" t="s">
        <v>1</v>
      </c>
      <c r="C12" s="27"/>
      <c r="D12" s="43">
        <v>4000</v>
      </c>
    </row>
    <row r="13" spans="1:4" ht="17.45" customHeight="1">
      <c r="A13" s="14"/>
      <c r="B13" s="28" t="s">
        <v>2</v>
      </c>
      <c r="C13" s="29"/>
      <c r="D13" s="44">
        <v>6.0000000000000001E-3</v>
      </c>
    </row>
    <row r="14" spans="1:4" ht="18" customHeight="1">
      <c r="A14" s="14"/>
      <c r="B14" s="52" t="s">
        <v>3</v>
      </c>
      <c r="C14" s="53"/>
      <c r="D14" s="54">
        <f>D12*30%</f>
        <v>1200</v>
      </c>
    </row>
    <row r="15" spans="1:4">
      <c r="A15" s="14"/>
      <c r="B15" s="14"/>
      <c r="C15" s="14"/>
      <c r="D15" s="14"/>
    </row>
    <row r="16" spans="1:4" ht="45.75" customHeight="1">
      <c r="A16" s="14"/>
      <c r="B16" s="48" t="s">
        <v>4</v>
      </c>
      <c r="C16" s="49"/>
      <c r="D16" s="50"/>
    </row>
    <row r="17" spans="1:6" ht="17.25">
      <c r="A17" s="14"/>
      <c r="B17" s="30" t="s">
        <v>5</v>
      </c>
      <c r="C17" s="31"/>
      <c r="D17" s="32">
        <v>1200</v>
      </c>
    </row>
    <row r="18" spans="1:6" ht="17.25">
      <c r="A18" s="14"/>
      <c r="B18" s="33" t="s">
        <v>6</v>
      </c>
      <c r="C18" s="34"/>
      <c r="D18" s="35">
        <v>1</v>
      </c>
    </row>
    <row r="19" spans="1:6" ht="17.25">
      <c r="A19" s="14"/>
      <c r="B19" s="33" t="s">
        <v>7</v>
      </c>
      <c r="C19" s="34"/>
      <c r="D19" s="36">
        <v>1.0789999999999999E-2</v>
      </c>
    </row>
    <row r="20" spans="1:6" ht="17.25">
      <c r="A20" s="14"/>
      <c r="B20" s="37" t="s">
        <v>8</v>
      </c>
      <c r="C20" s="38"/>
      <c r="D20" s="39">
        <f>FV(taxa_mensal,qtd_anos*12,aporte*-1)</f>
        <v>15286.063200667872</v>
      </c>
    </row>
    <row r="21" spans="1:6" ht="17.25">
      <c r="A21" s="14"/>
      <c r="B21" s="40" t="s">
        <v>9</v>
      </c>
      <c r="C21" s="41"/>
      <c r="D21" s="42">
        <f>patrimonio*rendimento_carteira</f>
        <v>91.716379204007225</v>
      </c>
      <c r="F21" s="2"/>
    </row>
    <row r="22" spans="1:6">
      <c r="A22" s="14"/>
      <c r="B22" s="14"/>
      <c r="C22" s="14"/>
      <c r="D22" s="14"/>
    </row>
    <row r="23" spans="1:6" ht="42" customHeight="1">
      <c r="A23" s="14"/>
      <c r="B23" s="55" t="s">
        <v>10</v>
      </c>
      <c r="C23" s="55" t="s">
        <v>11</v>
      </c>
      <c r="D23" s="51" t="s">
        <v>12</v>
      </c>
    </row>
    <row r="24" spans="1:6" ht="17.25">
      <c r="A24" s="15">
        <v>2</v>
      </c>
      <c r="B24" s="62" t="s">
        <v>13</v>
      </c>
      <c r="C24" s="56">
        <f>FV($D$19,$A24*12,$D$17*-1)</f>
        <v>32673.152757174259</v>
      </c>
      <c r="D24" s="57">
        <f>C24*rendimento_carteira</f>
        <v>196.03891654304556</v>
      </c>
    </row>
    <row r="25" spans="1:6" ht="17.25">
      <c r="A25" s="15">
        <v>5</v>
      </c>
      <c r="B25" s="63" t="s">
        <v>14</v>
      </c>
      <c r="C25" s="58">
        <f>FV($D$19,$A25*12,$D$17*-1)</f>
        <v>100532.29679818517</v>
      </c>
      <c r="D25" s="59">
        <f>C25*rendimento_carteira</f>
        <v>603.19378078911097</v>
      </c>
    </row>
    <row r="26" spans="1:6" ht="17.25">
      <c r="A26" s="15">
        <v>10</v>
      </c>
      <c r="B26" s="63" t="s">
        <v>15</v>
      </c>
      <c r="C26" s="58">
        <f>FV($D$19,$A26*12,$D$17*-1)</f>
        <v>291941.05503620661</v>
      </c>
      <c r="D26" s="59">
        <f>C26*rendimento_carteira</f>
        <v>1751.6463302172397</v>
      </c>
    </row>
    <row r="27" spans="1:6" ht="17.25">
      <c r="A27" s="15">
        <v>20</v>
      </c>
      <c r="B27" s="63" t="s">
        <v>16</v>
      </c>
      <c r="C27" s="58">
        <f>FV($D$19,$A27*12,$D$17*-1)</f>
        <v>1350238.0801164967</v>
      </c>
      <c r="D27" s="59">
        <f>C27*rendimento_carteira</f>
        <v>8101.4284806989799</v>
      </c>
    </row>
    <row r="28" spans="1:6" ht="17.25">
      <c r="A28" s="15">
        <v>30</v>
      </c>
      <c r="B28" s="64" t="s">
        <v>17</v>
      </c>
      <c r="C28" s="60">
        <f>FV($D$19,$A28*12,$D$17*-1)</f>
        <v>5186603.586005657</v>
      </c>
      <c r="D28" s="61">
        <f>C28*rendimento_carteira</f>
        <v>31119.621516033942</v>
      </c>
    </row>
    <row r="29" spans="1:6">
      <c r="A29" s="15"/>
      <c r="B29" s="14"/>
      <c r="C29" s="14"/>
      <c r="D29" s="14"/>
    </row>
    <row r="30" spans="1:6">
      <c r="A30" s="15"/>
      <c r="B30" s="14"/>
      <c r="C30" s="14"/>
      <c r="D30" s="14"/>
    </row>
    <row r="31" spans="1:6">
      <c r="A31" s="15"/>
      <c r="B31" s="14"/>
      <c r="C31" s="14"/>
      <c r="D31" s="14"/>
    </row>
    <row r="32" spans="1:6">
      <c r="A32" s="15"/>
      <c r="B32" s="14"/>
      <c r="C32" s="14"/>
      <c r="D32" s="14"/>
    </row>
    <row r="33" spans="1:4">
      <c r="A33" s="15"/>
      <c r="B33" s="14"/>
      <c r="C33" s="14"/>
      <c r="D33" s="14"/>
    </row>
    <row r="34" spans="1:4">
      <c r="A34" s="15"/>
      <c r="B34" s="14"/>
      <c r="C34" s="14"/>
      <c r="D34" s="14"/>
    </row>
    <row r="35" spans="1:4">
      <c r="A35" s="15"/>
      <c r="B35" s="14"/>
      <c r="C35" s="14"/>
      <c r="D35" s="14"/>
    </row>
    <row r="36" spans="1:4">
      <c r="A36" s="15"/>
      <c r="B36" s="14"/>
      <c r="C36" s="14"/>
      <c r="D36" s="14"/>
    </row>
    <row r="37" spans="1:4">
      <c r="A37" s="15"/>
      <c r="B37" s="14"/>
      <c r="C37" s="14"/>
      <c r="D37" s="14"/>
    </row>
    <row r="38" spans="1:4">
      <c r="A38" s="15"/>
      <c r="B38" s="14"/>
      <c r="C38" s="14"/>
      <c r="D38" s="14"/>
    </row>
    <row r="39" spans="1:4">
      <c r="A39" s="14"/>
      <c r="B39" s="14"/>
      <c r="C39" s="14"/>
      <c r="D39" s="14"/>
    </row>
    <row r="40" spans="1:4">
      <c r="A40" s="14"/>
      <c r="B40" s="14"/>
      <c r="C40" s="14"/>
      <c r="D40" s="14"/>
    </row>
    <row r="41" spans="1:4">
      <c r="A41" s="14"/>
      <c r="B41" s="16" t="s">
        <v>18</v>
      </c>
      <c r="C41" s="17" t="s">
        <v>19</v>
      </c>
      <c r="D41" s="16"/>
    </row>
    <row r="42" spans="1:4">
      <c r="A42" s="14"/>
      <c r="B42" s="18" t="s">
        <v>20</v>
      </c>
      <c r="C42" s="19">
        <f>aporte</f>
        <v>1200</v>
      </c>
      <c r="D42" s="18"/>
    </row>
    <row r="43" spans="1:4">
      <c r="A43" s="14"/>
      <c r="B43" s="14"/>
      <c r="C43" s="14"/>
      <c r="D43" s="14"/>
    </row>
    <row r="44" spans="1:4">
      <c r="A44" s="14"/>
      <c r="B44" s="20" t="s">
        <v>21</v>
      </c>
      <c r="C44" s="20" t="s">
        <v>22</v>
      </c>
      <c r="D44" s="20" t="s">
        <v>23</v>
      </c>
    </row>
    <row r="45" spans="1:4">
      <c r="A45" s="14"/>
      <c r="B45" s="21" t="s">
        <v>24</v>
      </c>
      <c r="C45" s="22">
        <f>VLOOKUP($C$41&amp;"-"&amp;B45,Planilha2!$A:$D,4,FALSE)</f>
        <v>0.5</v>
      </c>
      <c r="D45" s="23">
        <f>C45*$C$42</f>
        <v>600</v>
      </c>
    </row>
    <row r="46" spans="1:4">
      <c r="A46" s="14"/>
      <c r="B46" s="21" t="s">
        <v>25</v>
      </c>
      <c r="C46" s="22">
        <f>VLOOKUP($C$41&amp;"-"&amp;B46,Planilha2!$A:$D,4,FALSE)</f>
        <v>0.1</v>
      </c>
      <c r="D46" s="23">
        <f t="shared" ref="D46:D50" si="0">C46*$C$42</f>
        <v>120</v>
      </c>
    </row>
    <row r="47" spans="1:4">
      <c r="A47" s="14"/>
      <c r="B47" s="21" t="s">
        <v>26</v>
      </c>
      <c r="C47" s="22">
        <f>VLOOKUP($C$41&amp;"-"&amp;B47,Planilha2!$A:$D,4,FALSE)</f>
        <v>0.05</v>
      </c>
      <c r="D47" s="23">
        <f t="shared" si="0"/>
        <v>60</v>
      </c>
    </row>
    <row r="48" spans="1:4">
      <c r="A48" s="14"/>
      <c r="B48" s="21" t="s">
        <v>27</v>
      </c>
      <c r="C48" s="22">
        <f>VLOOKUP($C$41&amp;"-"&amp;B48,Planilha2!$A:$D,4,FALSE)</f>
        <v>0.05</v>
      </c>
      <c r="D48" s="23">
        <f t="shared" si="0"/>
        <v>60</v>
      </c>
    </row>
    <row r="49" spans="1:4">
      <c r="A49" s="14"/>
      <c r="B49" s="21" t="s">
        <v>28</v>
      </c>
      <c r="C49" s="22">
        <f>VLOOKUP($C$41&amp;"-"&amp;B49,Planilha2!$A:$D,4,FALSE)</f>
        <v>0.2</v>
      </c>
      <c r="D49" s="23">
        <f t="shared" si="0"/>
        <v>240</v>
      </c>
    </row>
    <row r="50" spans="1:4">
      <c r="A50" s="14"/>
      <c r="B50" s="21" t="s">
        <v>29</v>
      </c>
      <c r="C50" s="22">
        <f>VLOOKUP($C$41&amp;"-"&amp;B50,Planilha2!$A:$D,4,FALSE)</f>
        <v>0.1</v>
      </c>
      <c r="D50" s="23">
        <f t="shared" si="0"/>
        <v>120</v>
      </c>
    </row>
    <row r="51" spans="1:4">
      <c r="A51" s="14"/>
      <c r="B51" s="24"/>
      <c r="C51" s="24"/>
      <c r="D51" s="25">
        <f>SUM(D45:D50)</f>
        <v>1200</v>
      </c>
    </row>
    <row r="52" spans="1:4">
      <c r="A52" s="14"/>
      <c r="B52" s="14"/>
      <c r="C52" s="14"/>
      <c r="D52" s="14"/>
    </row>
    <row r="53" spans="1:4">
      <c r="A53" s="14"/>
      <c r="B53" s="14"/>
      <c r="C53" s="14"/>
      <c r="D53" s="14"/>
    </row>
    <row r="54" spans="1:4">
      <c r="A54" s="14"/>
      <c r="B54" s="14"/>
      <c r="C54" s="14"/>
      <c r="D54" s="14"/>
    </row>
    <row r="55" spans="1:4">
      <c r="A55" s="14"/>
      <c r="B55" s="14"/>
      <c r="C55" s="14"/>
      <c r="D55" s="14"/>
    </row>
    <row r="56" spans="1:4">
      <c r="A56" s="14"/>
      <c r="B56" s="14"/>
      <c r="C56" s="14"/>
      <c r="D56" s="14"/>
    </row>
    <row r="57" spans="1:4">
      <c r="A57" s="14"/>
      <c r="B57" s="14"/>
      <c r="C57" s="14"/>
      <c r="D57" s="14"/>
    </row>
    <row r="58" spans="1:4">
      <c r="A58" s="14"/>
      <c r="B58" s="14"/>
      <c r="C58" s="14"/>
      <c r="D58" s="14"/>
    </row>
    <row r="59" spans="1:4">
      <c r="A59" s="14"/>
      <c r="B59" s="14"/>
      <c r="C59" s="14"/>
      <c r="D59" s="14"/>
    </row>
    <row r="60" spans="1:4">
      <c r="A60" s="14"/>
      <c r="B60" s="14"/>
      <c r="C60" s="14"/>
      <c r="D60" s="14"/>
    </row>
    <row r="61" spans="1:4">
      <c r="A61" s="14"/>
      <c r="B61" s="14"/>
      <c r="C61" s="14"/>
      <c r="D61" s="14"/>
    </row>
    <row r="62" spans="1:4">
      <c r="A62" s="14"/>
      <c r="B62" s="14"/>
      <c r="C62" s="14"/>
      <c r="D62" s="14"/>
    </row>
    <row r="63" spans="1:4">
      <c r="A63" s="14"/>
      <c r="B63" s="14"/>
      <c r="C63" s="14"/>
      <c r="D63" s="14"/>
    </row>
    <row r="64" spans="1:4">
      <c r="A64" s="14"/>
      <c r="B64" s="14"/>
      <c r="C64" s="14"/>
      <c r="D64" s="14"/>
    </row>
    <row r="65" spans="1:4">
      <c r="A65" s="14"/>
      <c r="B65" s="14"/>
      <c r="C65" s="14"/>
      <c r="D65" s="14"/>
    </row>
  </sheetData>
  <mergeCells count="10">
    <mergeCell ref="B11:D11"/>
    <mergeCell ref="B12:C12"/>
    <mergeCell ref="B13:C13"/>
    <mergeCell ref="B14:C14"/>
    <mergeCell ref="B20:C20"/>
    <mergeCell ref="B17:C17"/>
    <mergeCell ref="B18:C18"/>
    <mergeCell ref="B19:C19"/>
    <mergeCell ref="B21:C21"/>
    <mergeCell ref="B16:D16"/>
  </mergeCells>
  <dataValidations count="1">
    <dataValidation type="list" allowBlank="1" showInputMessage="1" showErrorMessage="1" sqref="C41" xr:uid="{25FB6157-0D6F-4288-BDF6-1C9F16279EC9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3A6F9-1A8F-494B-BC52-78E26FF12D4E}">
  <dimension ref="A2:H21"/>
  <sheetViews>
    <sheetView showGridLines="0" zoomScale="115" zoomScaleNormal="115" workbookViewId="0">
      <selection activeCell="G9" sqref="G9"/>
    </sheetView>
  </sheetViews>
  <sheetFormatPr defaultRowHeight="14.45"/>
  <cols>
    <col min="1" max="1" width="29.140625" bestFit="1" customWidth="1"/>
    <col min="2" max="2" width="11.5703125" bestFit="1" customWidth="1"/>
    <col min="3" max="3" width="17.7109375" bestFit="1" customWidth="1"/>
    <col min="7" max="7" width="16.140625" bestFit="1" customWidth="1"/>
  </cols>
  <sheetData>
    <row r="2" spans="1:8">
      <c r="A2" s="12" t="s">
        <v>30</v>
      </c>
      <c r="B2" s="12" t="s">
        <v>18</v>
      </c>
      <c r="C2" s="13" t="s">
        <v>21</v>
      </c>
      <c r="D2" s="13" t="s">
        <v>31</v>
      </c>
    </row>
    <row r="3" spans="1:8">
      <c r="A3" t="str">
        <f>B3&amp;"-"&amp;C3</f>
        <v>Conservador-PAPEL</v>
      </c>
      <c r="B3" t="s">
        <v>32</v>
      </c>
      <c r="C3" s="1" t="s">
        <v>24</v>
      </c>
      <c r="D3" s="3">
        <v>0.3</v>
      </c>
      <c r="H3" t="s">
        <v>31</v>
      </c>
    </row>
    <row r="4" spans="1:8">
      <c r="A4" t="str">
        <f t="shared" ref="A4:A20" si="0">B4&amp;"-"&amp;C4</f>
        <v>Conservador-TIJOLO</v>
      </c>
      <c r="B4" t="s">
        <v>32</v>
      </c>
      <c r="C4" s="1" t="s">
        <v>25</v>
      </c>
      <c r="D4" s="3">
        <v>0.5</v>
      </c>
      <c r="G4" s="4" t="s">
        <v>33</v>
      </c>
      <c r="H4" s="11">
        <f>VLOOKUP(G4,$A:$D,4,FALSE)</f>
        <v>0.35</v>
      </c>
    </row>
    <row r="5" spans="1:8">
      <c r="A5" t="str">
        <f t="shared" si="0"/>
        <v>Conservador-HÍBRIDOS</v>
      </c>
      <c r="B5" t="s">
        <v>32</v>
      </c>
      <c r="C5" s="1" t="s">
        <v>26</v>
      </c>
      <c r="D5" s="3">
        <v>0.1</v>
      </c>
    </row>
    <row r="6" spans="1:8">
      <c r="A6" t="str">
        <f t="shared" si="0"/>
        <v>Conservador-FOFs</v>
      </c>
      <c r="B6" t="s">
        <v>32</v>
      </c>
      <c r="C6" s="1" t="s">
        <v>27</v>
      </c>
      <c r="D6" s="3">
        <v>0.1</v>
      </c>
    </row>
    <row r="7" spans="1:8">
      <c r="A7" t="str">
        <f t="shared" si="0"/>
        <v>Conservador-DESENVOLVIMENTO</v>
      </c>
      <c r="B7" t="s">
        <v>32</v>
      </c>
      <c r="C7" s="1" t="s">
        <v>28</v>
      </c>
      <c r="D7" s="3">
        <v>0</v>
      </c>
    </row>
    <row r="8" spans="1:8" ht="15" thickBot="1">
      <c r="A8" s="5" t="str">
        <f t="shared" si="0"/>
        <v>Conservador-HOTELARIAS</v>
      </c>
      <c r="B8" s="5" t="s">
        <v>32</v>
      </c>
      <c r="C8" s="6" t="s">
        <v>29</v>
      </c>
      <c r="D8" s="7">
        <v>0</v>
      </c>
    </row>
    <row r="9" spans="1:8">
      <c r="A9" t="str">
        <f t="shared" si="0"/>
        <v>Moderado-PAPEL</v>
      </c>
      <c r="B9" t="s">
        <v>34</v>
      </c>
      <c r="C9" s="1" t="s">
        <v>24</v>
      </c>
      <c r="D9" s="3">
        <v>0.32</v>
      </c>
    </row>
    <row r="10" spans="1:8">
      <c r="A10" s="8" t="str">
        <f t="shared" si="0"/>
        <v>Moderado-TIJOLO</v>
      </c>
      <c r="B10" s="8" t="s">
        <v>34</v>
      </c>
      <c r="C10" s="9" t="s">
        <v>25</v>
      </c>
      <c r="D10" s="10">
        <v>0.35</v>
      </c>
    </row>
    <row r="11" spans="1:8">
      <c r="A11" t="str">
        <f t="shared" si="0"/>
        <v>Moderado-HÍBRIDOS</v>
      </c>
      <c r="B11" t="s">
        <v>34</v>
      </c>
      <c r="C11" s="1" t="s">
        <v>26</v>
      </c>
      <c r="D11" s="3">
        <v>0.08</v>
      </c>
    </row>
    <row r="12" spans="1:8">
      <c r="A12" t="str">
        <f t="shared" si="0"/>
        <v>Moderado-FOFs</v>
      </c>
      <c r="B12" t="s">
        <v>34</v>
      </c>
      <c r="C12" s="1" t="s">
        <v>27</v>
      </c>
      <c r="D12" s="3">
        <v>0.05</v>
      </c>
    </row>
    <row r="13" spans="1:8">
      <c r="A13" t="str">
        <f t="shared" si="0"/>
        <v>Moderado-DESENVOLVIMENTO</v>
      </c>
      <c r="B13" t="s">
        <v>34</v>
      </c>
      <c r="C13" s="1" t="s">
        <v>28</v>
      </c>
      <c r="D13" s="3">
        <v>0.1</v>
      </c>
    </row>
    <row r="14" spans="1:8" ht="15" thickBot="1">
      <c r="A14" s="5" t="str">
        <f t="shared" si="0"/>
        <v>Moderado-HOTELARIAS</v>
      </c>
      <c r="B14" s="5" t="s">
        <v>34</v>
      </c>
      <c r="C14" s="6" t="s">
        <v>29</v>
      </c>
      <c r="D14" s="7">
        <v>0.1</v>
      </c>
    </row>
    <row r="15" spans="1:8">
      <c r="A15" t="str">
        <f t="shared" si="0"/>
        <v>Agressivo-PAPEL</v>
      </c>
      <c r="B15" t="s">
        <v>19</v>
      </c>
      <c r="C15" s="1" t="s">
        <v>24</v>
      </c>
      <c r="D15" s="3">
        <v>0.5</v>
      </c>
    </row>
    <row r="16" spans="1:8">
      <c r="A16" t="str">
        <f t="shared" si="0"/>
        <v>Agressivo-TIJOLO</v>
      </c>
      <c r="B16" t="s">
        <v>19</v>
      </c>
      <c r="C16" s="1" t="s">
        <v>25</v>
      </c>
      <c r="D16" s="3">
        <v>0.1</v>
      </c>
    </row>
    <row r="17" spans="1:4">
      <c r="A17" t="str">
        <f t="shared" si="0"/>
        <v>Agressivo-HÍBRIDOS</v>
      </c>
      <c r="B17" t="s">
        <v>19</v>
      </c>
      <c r="C17" s="1" t="s">
        <v>26</v>
      </c>
      <c r="D17" s="3">
        <v>0.05</v>
      </c>
    </row>
    <row r="18" spans="1:4">
      <c r="A18" t="str">
        <f t="shared" si="0"/>
        <v>Agressivo-FOFs</v>
      </c>
      <c r="B18" t="s">
        <v>19</v>
      </c>
      <c r="C18" s="1" t="s">
        <v>27</v>
      </c>
      <c r="D18" s="3">
        <v>0.05</v>
      </c>
    </row>
    <row r="19" spans="1:4">
      <c r="A19" t="str">
        <f t="shared" si="0"/>
        <v>Agressivo-DESENVOLVIMENTO</v>
      </c>
      <c r="B19" t="s">
        <v>19</v>
      </c>
      <c r="C19" s="1" t="s">
        <v>28</v>
      </c>
      <c r="D19" s="3">
        <v>0.2</v>
      </c>
    </row>
    <row r="20" spans="1:4">
      <c r="A20" t="str">
        <f t="shared" si="0"/>
        <v>Agressivo-HOTELARIAS</v>
      </c>
      <c r="B20" t="s">
        <v>19</v>
      </c>
      <c r="C20" s="1" t="s">
        <v>29</v>
      </c>
      <c r="D20" s="3">
        <v>0.1</v>
      </c>
    </row>
    <row r="21" spans="1:4">
      <c r="D21" s="1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D0D6DD-E6DB-45C8-8F90-E314C090C085}"/>
</file>

<file path=customXml/itemProps2.xml><?xml version="1.0" encoding="utf-8"?>
<ds:datastoreItem xmlns:ds="http://schemas.openxmlformats.org/officeDocument/2006/customXml" ds:itemID="{C32110DE-3D77-470C-9CED-65521C30E3F6}"/>
</file>

<file path=customXml/itemProps3.xml><?xml version="1.0" encoding="utf-8"?>
<ds:datastoreItem xmlns:ds="http://schemas.openxmlformats.org/officeDocument/2006/customXml" ds:itemID="{62BBC473-00BC-48E4-BFA3-FE8E2B1F00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 Silva Aguiar</dc:creator>
  <cp:keywords/>
  <dc:description/>
  <cp:lastModifiedBy/>
  <cp:revision/>
  <dcterms:created xsi:type="dcterms:W3CDTF">2025-04-16T18:38:03Z</dcterms:created>
  <dcterms:modified xsi:type="dcterms:W3CDTF">2026-02-15T15:34:37Z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